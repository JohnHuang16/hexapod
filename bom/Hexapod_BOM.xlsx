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<sst xmlns="http://schemas.openxmlformats.org/spreadsheetml/2006/main" count="217" uniqueCount="101">
  <si>
    <t xml:space="preserve">Hexapod — Bill of Materials</t>
  </si>
  <si>
    <t xml:space="preserve">USD, as of Oct 24, 2026. Blue = editable. Set Include? to Y/N; totals update. 'Checked' = price seen on a live listing; 'Estimate' = typical price, confirm before buying.</t>
  </si>
  <si>
    <t xml:space="preserve">#</t>
  </si>
  <si>
    <t xml:space="preserve">Section</t>
  </si>
  <si>
    <t xml:space="preserve">Item</t>
  </si>
  <si>
    <t xml:space="preserve">Spec / Notes</t>
  </si>
  <si>
    <t xml:space="preserve">Qty</t>
  </si>
  <si>
    <t xml:space="preserve">Unit ($)</t>
  </si>
  <si>
    <t xml:space="preserve">Include?</t>
  </si>
  <si>
    <t xml:space="preserve">Line total ($)</t>
  </si>
  <si>
    <t xml:space="preserve">Price basis</t>
  </si>
  <si>
    <t xml:space="preserve">Where</t>
  </si>
  <si>
    <t xml:space="preserve">1. Prototype leg</t>
  </si>
  <si>
    <t xml:space="preserve">Hiwonder HTD-45H serial bus servo</t>
  </si>
  <si>
    <t xml:space="preserve">45 kg·cm stall @ 11.1 V, 9–12.6 V, metal gears, temp/voltage/position feedback</t>
  </si>
  <si>
    <t xml:space="preserve">Y</t>
  </si>
  <si>
    <t xml:space="preserve">Checked</t>
  </si>
  <si>
    <t xml:space="preserve">Amazon (sold by Hiwonder-US, free 30-day returns)</t>
  </si>
  <si>
    <t xml:space="preserve">Hiwonder TTL/USB debugging board</t>
  </si>
  <si>
    <t xml:space="preserve">Sets servo IDs, laptop control. Confirm HTD-series support on listing</t>
  </si>
  <si>
    <t xml:space="preserve">RobotShop / Amazon Hiwonder store</t>
  </si>
  <si>
    <t xml:space="preserve">12 V power supply, 5 A+, 5.5 mm barrel</t>
  </si>
  <si>
    <t xml:space="preserve">Desk power for the leg</t>
  </si>
  <si>
    <t xml:space="preserve">Estimate</t>
  </si>
  <si>
    <t xml:space="preserve">Amazon</t>
  </si>
  <si>
    <t xml:space="preserve">Barrel jack → screw terminal adapter</t>
  </si>
  <si>
    <t xml:space="preserve">Match to how the debug board takes power</t>
  </si>
  <si>
    <t xml:space="preserve">Spare Hiwonder bus cable</t>
  </si>
  <si>
    <t xml:space="preserve">Extra length to route along the leg</t>
  </si>
  <si>
    <t xml:space="preserve">Amazon Hiwonder store</t>
  </si>
  <si>
    <t xml:space="preserve">Capacitor 1000 µF+, 25 V+</t>
  </si>
  <si>
    <t xml:space="preserve">Across servo power to absorb spikes</t>
  </si>
  <si>
    <t xml:space="preserve">Amazon / DigiKey</t>
  </si>
  <si>
    <t xml:space="preserve">M3 screw + nut assortment kit</t>
  </si>
  <si>
    <t xml:space="preserve">M3 heat-set inserts kit (brass, tapered)</t>
  </si>
  <si>
    <t xml:space="preserve">M3×4–5 mm; kit with install tips preferred</t>
  </si>
  <si>
    <t xml:space="preserve">Blue threadlocker (Loctite 243)</t>
  </si>
  <si>
    <t xml:space="preserve">For horn screws</t>
  </si>
  <si>
    <t xml:space="preserve">Amazon / Home Depot</t>
  </si>
  <si>
    <t xml:space="preserve">Bearings + M3/M4 shoulder bolts</t>
  </si>
  <si>
    <t xml:space="preserve">ORDER AFTER CAD — size depends on servo rear mount</t>
  </si>
  <si>
    <t xml:space="preserve">N</t>
  </si>
  <si>
    <t xml:space="preserve">Amazon / McMaster-Carr</t>
  </si>
  <si>
    <t xml:space="preserve">PETG filament, 1 kg</t>
  </si>
  <si>
    <t xml:space="preserve">Skip if printing free at Jacobs Hall</t>
  </si>
  <si>
    <t xml:space="preserve">Amazon / Bambu store</t>
  </si>
  <si>
    <t xml:space="preserve">2. Tools</t>
  </si>
  <si>
    <t xml:space="preserve">Soldering iron (Pinecil or basic station)</t>
  </si>
  <si>
    <t xml:space="preserve">Adjustable temp; Pinecil needs 65 W+ USB-C PD charger</t>
  </si>
  <si>
    <t xml:space="preserve">Amazon / Pine64</t>
  </si>
  <si>
    <t xml:space="preserve">Soldering stand + brass tip cleaner</t>
  </si>
  <si>
    <t xml:space="preserve">Skip if included with the iron</t>
  </si>
  <si>
    <t xml:space="preserve">Rosin-core solder, ~0.8 mm</t>
  </si>
  <si>
    <t xml:space="preserve">Multimeter</t>
  </si>
  <si>
    <t xml:space="preserve">Skip if you have one</t>
  </si>
  <si>
    <t xml:space="preserve">Digital calipers</t>
  </si>
  <si>
    <t xml:space="preserve">Measure servo + bearing fits for CAD</t>
  </si>
  <si>
    <t xml:space="preserve">Hex key / screwdriver set</t>
  </si>
  <si>
    <t xml:space="preserve">3. Organization</t>
  </si>
  <si>
    <t xml:space="preserve">Small-parts organizer, removable compartments</t>
  </si>
  <si>
    <t xml:space="preserve">Screws, nuts, inserts, bearings</t>
  </si>
  <si>
    <t xml:space="preserve">Amazon / Target</t>
  </si>
  <si>
    <t xml:space="preserve">Silicone soldering mat</t>
  </si>
  <si>
    <t xml:space="preserve">Heat-resistant desk protection</t>
  </si>
  <si>
    <t xml:space="preserve">3-tier rolling cart</t>
  </si>
  <si>
    <t xml:space="preserve">Tools + parts; NOT for the printer</t>
  </si>
  <si>
    <t xml:space="preserve">Amazon / IKEA / Target</t>
  </si>
  <si>
    <t xml:space="preserve">Lidded storage bin</t>
  </si>
  <si>
    <t xml:space="preserve">For the leg between sessions</t>
  </si>
  <si>
    <t xml:space="preserve">Target</t>
  </si>
  <si>
    <t xml:space="preserve">4. 3D printer (optional)</t>
  </si>
  <si>
    <t xml:space="preserve">Bambu Lab P2S (standalone)</t>
  </si>
  <si>
    <t xml:space="preserve">Enclosed; spool holder mounts outside. Check Black Friday pricing + dorm rules</t>
  </si>
  <si>
    <t xml:space="preserve">us.store.bambulab.com</t>
  </si>
  <si>
    <t xml:space="preserve">Filament dry box</t>
  </si>
  <si>
    <t xml:space="preserve">Keeps PETG dry</t>
  </si>
  <si>
    <t xml:space="preserve">5. Phase 2 (later)</t>
  </si>
  <si>
    <t xml:space="preserve">Hiwonder HTD-45H (remaining)</t>
  </si>
  <si>
    <t xml:space="preserve">Brings total to 18; buy only after strength test passes</t>
  </si>
  <si>
    <t xml:space="preserve">Raspberry Pi 5, 2GB</t>
  </si>
  <si>
    <t xml:space="preserve">List price as of Oct 1, 2026</t>
  </si>
  <si>
    <t xml:space="preserve">raspberrypi.com resellers</t>
  </si>
  <si>
    <t xml:space="preserve">Pi Active Cooler + 64GB microSD</t>
  </si>
  <si>
    <t xml:space="preserve">Adafruit / Amazon</t>
  </si>
  <si>
    <t xml:space="preserve">3S LiPo ~5000 mAh, XT60</t>
  </si>
  <si>
    <t xml:space="preserve">Full charge 12.6 V matches servo range</t>
  </si>
  <si>
    <t xml:space="preserve">Amazon / hobby store</t>
  </si>
  <si>
    <t xml:space="preserve">LiPo balance charger + safety bag</t>
  </si>
  <si>
    <t xml:space="preserve">5 V / 5 A buck converter</t>
  </si>
  <si>
    <t xml:space="preserve">Powers the Pi from the battery</t>
  </si>
  <si>
    <t xml:space="preserve">30 A fuse + holder, kill switch</t>
  </si>
  <si>
    <t xml:space="preserve">On main battery line</t>
  </si>
  <si>
    <t xml:space="preserve">14 AWG silicone wire + XT60 connectors</t>
  </si>
  <si>
    <t xml:space="preserve">Body plates (aluminum or thick prints)</t>
  </si>
  <si>
    <t xml:space="preserve">Top + bottom</t>
  </si>
  <si>
    <t xml:space="preserve">Amazon / SendCutSend</t>
  </si>
  <si>
    <t xml:space="preserve">More filament (PETG/CF-nylon, 2 kg)</t>
  </si>
  <si>
    <t xml:space="preserve">Bearings ×30 + screws/standoffs</t>
  </si>
  <si>
    <t xml:space="preserve">Subtotals by section</t>
  </si>
  <si>
    <t xml:space="preserve">TOTAL (included)</t>
  </si>
  <si>
    <t xml:space="preserve">Full robot incl. Phase 2 (excl. printer)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</si>
</sst>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;&quot;($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1D5DB"/>
      </patternFill>
    </fill>
    <fill>
      <patternFill patternType="solid">
        <fgColor rgb="FFFFF3B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5" t="n">
        <v>3</v>
      </c>
      <c r="F5" s="6" t="n">
        <v>29.99</v>
      </c>
      <c r="G5" s="5" t="s">
        <v>15</v>
      </c>
      <c r="H5" s="7" t="n">
        <f aca="false">IF(G5="Y",E5*F5,0)</f>
        <v>89.97</v>
      </c>
      <c r="I5" s="8" t="s">
        <v>16</v>
      </c>
      <c r="J5" s="4" t="s">
        <v>17</v>
      </c>
    </row>
    <row r="6" customFormat="false" ht="23.85" hidden="false" customHeight="false" outlineLevel="0" collapsed="false">
      <c r="A6" s="4" t="n">
        <v>2</v>
      </c>
      <c r="B6" s="4" t="s">
        <v>12</v>
      </c>
      <c r="C6" s="4" t="s">
        <v>18</v>
      </c>
      <c r="D6" s="4" t="s">
        <v>19</v>
      </c>
      <c r="E6" s="5" t="n">
        <v>1</v>
      </c>
      <c r="F6" s="6" t="n">
        <v>16.99</v>
      </c>
      <c r="G6" s="5" t="s">
        <v>15</v>
      </c>
      <c r="H6" s="7" t="n">
        <f aca="false">IF(G6="Y",E6*F6,0)</f>
        <v>16.99</v>
      </c>
      <c r="I6" s="8" t="s">
        <v>16</v>
      </c>
      <c r="J6" s="4" t="s">
        <v>20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21</v>
      </c>
      <c r="D7" s="4" t="s">
        <v>22</v>
      </c>
      <c r="E7" s="5" t="n">
        <v>1</v>
      </c>
      <c r="F7" s="6" t="n">
        <v>15</v>
      </c>
      <c r="G7" s="5" t="s">
        <v>15</v>
      </c>
      <c r="H7" s="7" t="n">
        <f aca="false">IF(G7="Y",E7*F7,0)</f>
        <v>15</v>
      </c>
      <c r="I7" s="4" t="s">
        <v>23</v>
      </c>
      <c r="J7" s="4" t="s">
        <v>24</v>
      </c>
    </row>
    <row r="8" customFormat="false" ht="15" hidden="false" customHeight="false" outlineLevel="0" collapsed="false">
      <c r="A8" s="4" t="n">
        <v>4</v>
      </c>
      <c r="B8" s="4" t="s">
        <v>12</v>
      </c>
      <c r="C8" s="4" t="s">
        <v>25</v>
      </c>
      <c r="D8" s="4" t="s">
        <v>26</v>
      </c>
      <c r="E8" s="5" t="n">
        <v>1</v>
      </c>
      <c r="F8" s="6" t="n">
        <v>4</v>
      </c>
      <c r="G8" s="5" t="s">
        <v>15</v>
      </c>
      <c r="H8" s="7" t="n">
        <f aca="false">IF(G8="Y",E8*F8,0)</f>
        <v>4</v>
      </c>
      <c r="I8" s="4" t="s">
        <v>23</v>
      </c>
      <c r="J8" s="4" t="s">
        <v>24</v>
      </c>
    </row>
    <row r="9" customFormat="false" ht="15" hidden="false" customHeight="false" outlineLevel="0" collapsed="false">
      <c r="A9" s="4" t="n">
        <v>5</v>
      </c>
      <c r="B9" s="4" t="s">
        <v>12</v>
      </c>
      <c r="C9" s="4" t="s">
        <v>27</v>
      </c>
      <c r="D9" s="4" t="s">
        <v>28</v>
      </c>
      <c r="E9" s="5" t="n">
        <v>1</v>
      </c>
      <c r="F9" s="6" t="n">
        <v>5</v>
      </c>
      <c r="G9" s="5" t="s">
        <v>15</v>
      </c>
      <c r="H9" s="7" t="n">
        <f aca="false">IF(G9="Y",E9*F9,0)</f>
        <v>5</v>
      </c>
      <c r="I9" s="4" t="s">
        <v>23</v>
      </c>
      <c r="J9" s="4" t="s">
        <v>29</v>
      </c>
    </row>
    <row r="10" customFormat="false" ht="15" hidden="false" customHeight="false" outlineLevel="0" collapsed="false">
      <c r="A10" s="4" t="n">
        <v>6</v>
      </c>
      <c r="B10" s="4" t="s">
        <v>12</v>
      </c>
      <c r="C10" s="4" t="s">
        <v>30</v>
      </c>
      <c r="D10" s="4" t="s">
        <v>31</v>
      </c>
      <c r="E10" s="5" t="n">
        <v>1</v>
      </c>
      <c r="F10" s="6" t="n">
        <v>2</v>
      </c>
      <c r="G10" s="5" t="s">
        <v>15</v>
      </c>
      <c r="H10" s="7" t="n">
        <f aca="false">IF(G10="Y",E10*F10,0)</f>
        <v>2</v>
      </c>
      <c r="I10" s="4" t="s">
        <v>23</v>
      </c>
      <c r="J10" s="4" t="s">
        <v>32</v>
      </c>
    </row>
    <row r="11" customFormat="false" ht="15" hidden="false" customHeight="false" outlineLevel="0" collapsed="false">
      <c r="A11" s="4" t="n">
        <v>7</v>
      </c>
      <c r="B11" s="4" t="s">
        <v>12</v>
      </c>
      <c r="C11" s="4" t="s">
        <v>33</v>
      </c>
      <c r="D11" s="4"/>
      <c r="E11" s="5" t="n">
        <v>1</v>
      </c>
      <c r="F11" s="6" t="n">
        <v>12</v>
      </c>
      <c r="G11" s="5" t="s">
        <v>15</v>
      </c>
      <c r="H11" s="7" t="n">
        <f aca="false">IF(G11="Y",E11*F11,0)</f>
        <v>12</v>
      </c>
      <c r="I11" s="4" t="s">
        <v>23</v>
      </c>
      <c r="J11" s="4" t="s">
        <v>24</v>
      </c>
    </row>
    <row r="12" customFormat="false" ht="15" hidden="false" customHeight="false" outlineLevel="0" collapsed="false">
      <c r="A12" s="4" t="n">
        <v>8</v>
      </c>
      <c r="B12" s="4" t="s">
        <v>12</v>
      </c>
      <c r="C12" s="4" t="s">
        <v>34</v>
      </c>
      <c r="D12" s="4" t="s">
        <v>35</v>
      </c>
      <c r="E12" s="5" t="n">
        <v>1</v>
      </c>
      <c r="F12" s="6" t="n">
        <v>12</v>
      </c>
      <c r="G12" s="5" t="s">
        <v>15</v>
      </c>
      <c r="H12" s="7" t="n">
        <f aca="false">IF(G12="Y",E12*F12,0)</f>
        <v>12</v>
      </c>
      <c r="I12" s="4" t="s">
        <v>23</v>
      </c>
      <c r="J12" s="4" t="s">
        <v>24</v>
      </c>
    </row>
    <row r="13" customFormat="false" ht="15" hidden="false" customHeight="false" outlineLevel="0" collapsed="false">
      <c r="A13" s="4" t="n">
        <v>9</v>
      </c>
      <c r="B13" s="4" t="s">
        <v>12</v>
      </c>
      <c r="C13" s="4" t="s">
        <v>36</v>
      </c>
      <c r="D13" s="4" t="s">
        <v>37</v>
      </c>
      <c r="E13" s="5" t="n">
        <v>1</v>
      </c>
      <c r="F13" s="6" t="n">
        <v>6</v>
      </c>
      <c r="G13" s="5" t="s">
        <v>15</v>
      </c>
      <c r="H13" s="7" t="n">
        <f aca="false">IF(G13="Y",E13*F13,0)</f>
        <v>6</v>
      </c>
      <c r="I13" s="4" t="s">
        <v>23</v>
      </c>
      <c r="J13" s="4" t="s">
        <v>38</v>
      </c>
    </row>
    <row r="14" customFormat="false" ht="15" hidden="false" customHeight="false" outlineLevel="0" collapsed="false">
      <c r="A14" s="4" t="n">
        <v>10</v>
      </c>
      <c r="B14" s="4" t="s">
        <v>12</v>
      </c>
      <c r="C14" s="4" t="s">
        <v>39</v>
      </c>
      <c r="D14" s="4" t="s">
        <v>40</v>
      </c>
      <c r="E14" s="5" t="n">
        <v>1</v>
      </c>
      <c r="F14" s="6" t="n">
        <v>15</v>
      </c>
      <c r="G14" s="5" t="s">
        <v>41</v>
      </c>
      <c r="H14" s="7" t="n">
        <f aca="false">IF(G14="Y",E14*F14,0)</f>
        <v>0</v>
      </c>
      <c r="I14" s="4" t="s">
        <v>23</v>
      </c>
      <c r="J14" s="4" t="s">
        <v>42</v>
      </c>
    </row>
    <row r="15" customFormat="false" ht="15" hidden="false" customHeight="false" outlineLevel="0" collapsed="false">
      <c r="A15" s="4" t="n">
        <v>11</v>
      </c>
      <c r="B15" s="4" t="s">
        <v>12</v>
      </c>
      <c r="C15" s="4" t="s">
        <v>43</v>
      </c>
      <c r="D15" s="4" t="s">
        <v>44</v>
      </c>
      <c r="E15" s="5" t="n">
        <v>1</v>
      </c>
      <c r="F15" s="6" t="n">
        <v>20</v>
      </c>
      <c r="G15" s="5" t="s">
        <v>15</v>
      </c>
      <c r="H15" s="7" t="n">
        <f aca="false">IF(G15="Y",E15*F15,0)</f>
        <v>20</v>
      </c>
      <c r="I15" s="4" t="s">
        <v>23</v>
      </c>
      <c r="J15" s="4" t="s">
        <v>45</v>
      </c>
    </row>
    <row r="16" customFormat="false" ht="15" hidden="false" customHeight="false" outlineLevel="0" collapsed="false">
      <c r="A16" s="4" t="n">
        <v>12</v>
      </c>
      <c r="B16" s="4" t="s">
        <v>46</v>
      </c>
      <c r="C16" s="4" t="s">
        <v>47</v>
      </c>
      <c r="D16" s="4" t="s">
        <v>48</v>
      </c>
      <c r="E16" s="5" t="n">
        <v>1</v>
      </c>
      <c r="F16" s="6" t="n">
        <v>35</v>
      </c>
      <c r="G16" s="5" t="s">
        <v>15</v>
      </c>
      <c r="H16" s="7" t="n">
        <f aca="false">IF(G16="Y",E16*F16,0)</f>
        <v>35</v>
      </c>
      <c r="I16" s="4" t="s">
        <v>23</v>
      </c>
      <c r="J16" s="4" t="s">
        <v>49</v>
      </c>
    </row>
    <row r="17" customFormat="false" ht="15" hidden="false" customHeight="false" outlineLevel="0" collapsed="false">
      <c r="A17" s="4" t="n">
        <v>13</v>
      </c>
      <c r="B17" s="4" t="s">
        <v>46</v>
      </c>
      <c r="C17" s="4" t="s">
        <v>50</v>
      </c>
      <c r="D17" s="4" t="s">
        <v>51</v>
      </c>
      <c r="E17" s="5" t="n">
        <v>1</v>
      </c>
      <c r="F17" s="6" t="n">
        <v>10</v>
      </c>
      <c r="G17" s="5" t="s">
        <v>15</v>
      </c>
      <c r="H17" s="7" t="n">
        <f aca="false">IF(G17="Y",E17*F17,0)</f>
        <v>10</v>
      </c>
      <c r="I17" s="4" t="s">
        <v>23</v>
      </c>
      <c r="J17" s="4" t="s">
        <v>24</v>
      </c>
    </row>
    <row r="18" customFormat="false" ht="15" hidden="false" customHeight="false" outlineLevel="0" collapsed="false">
      <c r="A18" s="4" t="n">
        <v>14</v>
      </c>
      <c r="B18" s="4" t="s">
        <v>46</v>
      </c>
      <c r="C18" s="4" t="s">
        <v>52</v>
      </c>
      <c r="D18" s="4"/>
      <c r="E18" s="5" t="n">
        <v>1</v>
      </c>
      <c r="F18" s="6" t="n">
        <v>8</v>
      </c>
      <c r="G18" s="5" t="s">
        <v>15</v>
      </c>
      <c r="H18" s="7" t="n">
        <f aca="false">IF(G18="Y",E18*F18,0)</f>
        <v>8</v>
      </c>
      <c r="I18" s="4" t="s">
        <v>23</v>
      </c>
      <c r="J18" s="4" t="s">
        <v>24</v>
      </c>
    </row>
    <row r="19" customFormat="false" ht="15" hidden="false" customHeight="false" outlineLevel="0" collapsed="false">
      <c r="A19" s="4" t="n">
        <v>15</v>
      </c>
      <c r="B19" s="4" t="s">
        <v>46</v>
      </c>
      <c r="C19" s="4" t="s">
        <v>53</v>
      </c>
      <c r="D19" s="4" t="s">
        <v>54</v>
      </c>
      <c r="E19" s="5" t="n">
        <v>1</v>
      </c>
      <c r="F19" s="6" t="n">
        <v>20</v>
      </c>
      <c r="G19" s="5" t="s">
        <v>15</v>
      </c>
      <c r="H19" s="7" t="n">
        <f aca="false">IF(G19="Y",E19*F19,0)</f>
        <v>20</v>
      </c>
      <c r="I19" s="4" t="s">
        <v>23</v>
      </c>
      <c r="J19" s="4" t="s">
        <v>24</v>
      </c>
    </row>
    <row r="20" customFormat="false" ht="15" hidden="false" customHeight="false" outlineLevel="0" collapsed="false">
      <c r="A20" s="4" t="n">
        <v>16</v>
      </c>
      <c r="B20" s="4" t="s">
        <v>46</v>
      </c>
      <c r="C20" s="4" t="s">
        <v>55</v>
      </c>
      <c r="D20" s="4" t="s">
        <v>56</v>
      </c>
      <c r="E20" s="5" t="n">
        <v>1</v>
      </c>
      <c r="F20" s="6" t="n">
        <v>20</v>
      </c>
      <c r="G20" s="5" t="s">
        <v>15</v>
      </c>
      <c r="H20" s="7" t="n">
        <f aca="false">IF(G20="Y",E20*F20,0)</f>
        <v>20</v>
      </c>
      <c r="I20" s="4" t="s">
        <v>23</v>
      </c>
      <c r="J20" s="4" t="s">
        <v>24</v>
      </c>
    </row>
    <row r="21" customFormat="false" ht="15" hidden="false" customHeight="false" outlineLevel="0" collapsed="false">
      <c r="A21" s="4" t="n">
        <v>17</v>
      </c>
      <c r="B21" s="4" t="s">
        <v>46</v>
      </c>
      <c r="C21" s="4" t="s">
        <v>57</v>
      </c>
      <c r="D21" s="4" t="s">
        <v>54</v>
      </c>
      <c r="E21" s="5" t="n">
        <v>1</v>
      </c>
      <c r="F21" s="6" t="n">
        <v>15</v>
      </c>
      <c r="G21" s="5" t="s">
        <v>41</v>
      </c>
      <c r="H21" s="7" t="n">
        <f aca="false">IF(G21="Y",E21*F21,0)</f>
        <v>0</v>
      </c>
      <c r="I21" s="4" t="s">
        <v>23</v>
      </c>
      <c r="J21" s="4" t="s">
        <v>24</v>
      </c>
    </row>
    <row r="22" customFormat="false" ht="15" hidden="false" customHeight="false" outlineLevel="0" collapsed="false">
      <c r="A22" s="4" t="n">
        <v>18</v>
      </c>
      <c r="B22" s="4" t="s">
        <v>58</v>
      </c>
      <c r="C22" s="4" t="s">
        <v>59</v>
      </c>
      <c r="D22" s="4" t="s">
        <v>60</v>
      </c>
      <c r="E22" s="5" t="n">
        <v>1</v>
      </c>
      <c r="F22" s="6" t="n">
        <v>12</v>
      </c>
      <c r="G22" s="5" t="s">
        <v>15</v>
      </c>
      <c r="H22" s="7" t="n">
        <f aca="false">IF(G22="Y",E22*F22,0)</f>
        <v>12</v>
      </c>
      <c r="I22" s="4" t="s">
        <v>23</v>
      </c>
      <c r="J22" s="4" t="s">
        <v>61</v>
      </c>
    </row>
    <row r="23" customFormat="false" ht="15" hidden="false" customHeight="false" outlineLevel="0" collapsed="false">
      <c r="A23" s="4" t="n">
        <v>19</v>
      </c>
      <c r="B23" s="4" t="s">
        <v>58</v>
      </c>
      <c r="C23" s="4" t="s">
        <v>62</v>
      </c>
      <c r="D23" s="4" t="s">
        <v>63</v>
      </c>
      <c r="E23" s="5" t="n">
        <v>1</v>
      </c>
      <c r="F23" s="6" t="n">
        <v>12</v>
      </c>
      <c r="G23" s="5" t="s">
        <v>15</v>
      </c>
      <c r="H23" s="7" t="n">
        <f aca="false">IF(G23="Y",E23*F23,0)</f>
        <v>12</v>
      </c>
      <c r="I23" s="4" t="s">
        <v>23</v>
      </c>
      <c r="J23" s="4" t="s">
        <v>24</v>
      </c>
    </row>
    <row r="24" customFormat="false" ht="15" hidden="false" customHeight="false" outlineLevel="0" collapsed="false">
      <c r="A24" s="4" t="n">
        <v>20</v>
      </c>
      <c r="B24" s="4" t="s">
        <v>58</v>
      </c>
      <c r="C24" s="4" t="s">
        <v>64</v>
      </c>
      <c r="D24" s="4" t="s">
        <v>65</v>
      </c>
      <c r="E24" s="5" t="n">
        <v>1</v>
      </c>
      <c r="F24" s="6" t="n">
        <v>35</v>
      </c>
      <c r="G24" s="5" t="s">
        <v>15</v>
      </c>
      <c r="H24" s="7" t="n">
        <f aca="false">IF(G24="Y",E24*F24,0)</f>
        <v>35</v>
      </c>
      <c r="I24" s="4" t="s">
        <v>23</v>
      </c>
      <c r="J24" s="4" t="s">
        <v>66</v>
      </c>
    </row>
    <row r="25" customFormat="false" ht="15" hidden="false" customHeight="false" outlineLevel="0" collapsed="false">
      <c r="A25" s="4" t="n">
        <v>21</v>
      </c>
      <c r="B25" s="4" t="s">
        <v>58</v>
      </c>
      <c r="C25" s="4" t="s">
        <v>67</v>
      </c>
      <c r="D25" s="4" t="s">
        <v>68</v>
      </c>
      <c r="E25" s="5" t="n">
        <v>1</v>
      </c>
      <c r="F25" s="6" t="n">
        <v>10</v>
      </c>
      <c r="G25" s="5" t="s">
        <v>15</v>
      </c>
      <c r="H25" s="7" t="n">
        <f aca="false">IF(G25="Y",E25*F25,0)</f>
        <v>10</v>
      </c>
      <c r="I25" s="4" t="s">
        <v>23</v>
      </c>
      <c r="J25" s="4" t="s">
        <v>69</v>
      </c>
    </row>
    <row r="26" customFormat="false" ht="23.85" hidden="false" customHeight="false" outlineLevel="0" collapsed="false">
      <c r="A26" s="9" t="n">
        <v>22</v>
      </c>
      <c r="B26" s="9" t="s">
        <v>70</v>
      </c>
      <c r="C26" s="9" t="s">
        <v>71</v>
      </c>
      <c r="D26" s="9" t="s">
        <v>72</v>
      </c>
      <c r="E26" s="10" t="n">
        <v>1</v>
      </c>
      <c r="F26" s="11" t="n">
        <v>549</v>
      </c>
      <c r="G26" s="10" t="s">
        <v>41</v>
      </c>
      <c r="H26" s="12" t="n">
        <f aca="false">IF(G26="Y",E26*F26,0)</f>
        <v>0</v>
      </c>
      <c r="I26" s="13" t="s">
        <v>16</v>
      </c>
      <c r="J26" s="9" t="s">
        <v>73</v>
      </c>
    </row>
    <row r="27" customFormat="false" ht="15" hidden="false" customHeight="false" outlineLevel="0" collapsed="false">
      <c r="A27" s="9" t="n">
        <v>23</v>
      </c>
      <c r="B27" s="9" t="s">
        <v>70</v>
      </c>
      <c r="C27" s="9" t="s">
        <v>74</v>
      </c>
      <c r="D27" s="9" t="s">
        <v>75</v>
      </c>
      <c r="E27" s="10" t="n">
        <v>1</v>
      </c>
      <c r="F27" s="11" t="n">
        <v>30</v>
      </c>
      <c r="G27" s="10" t="s">
        <v>41</v>
      </c>
      <c r="H27" s="12" t="n">
        <f aca="false">IF(G27="Y",E27*F27,0)</f>
        <v>0</v>
      </c>
      <c r="I27" s="9" t="s">
        <v>23</v>
      </c>
      <c r="J27" s="9" t="s">
        <v>24</v>
      </c>
    </row>
    <row r="28" customFormat="false" ht="15" hidden="false" customHeight="false" outlineLevel="0" collapsed="false">
      <c r="A28" s="9" t="n">
        <v>24</v>
      </c>
      <c r="B28" s="9" t="s">
        <v>76</v>
      </c>
      <c r="C28" s="9" t="s">
        <v>77</v>
      </c>
      <c r="D28" s="9" t="s">
        <v>78</v>
      </c>
      <c r="E28" s="10" t="n">
        <v>15</v>
      </c>
      <c r="F28" s="11" t="n">
        <v>29.99</v>
      </c>
      <c r="G28" s="10" t="s">
        <v>41</v>
      </c>
      <c r="H28" s="12" t="n">
        <f aca="false">IF(G28="Y",E28*F28,0)</f>
        <v>0</v>
      </c>
      <c r="I28" s="13" t="s">
        <v>16</v>
      </c>
      <c r="J28" s="9" t="s">
        <v>24</v>
      </c>
    </row>
    <row r="29" customFormat="false" ht="15" hidden="false" customHeight="false" outlineLevel="0" collapsed="false">
      <c r="A29" s="9" t="n">
        <v>25</v>
      </c>
      <c r="B29" s="9" t="s">
        <v>76</v>
      </c>
      <c r="C29" s="9" t="s">
        <v>79</v>
      </c>
      <c r="D29" s="9" t="s">
        <v>80</v>
      </c>
      <c r="E29" s="10" t="n">
        <v>1</v>
      </c>
      <c r="F29" s="11" t="n">
        <v>77.5</v>
      </c>
      <c r="G29" s="10" t="s">
        <v>41</v>
      </c>
      <c r="H29" s="12" t="n">
        <f aca="false">IF(G29="Y",E29*F29,0)</f>
        <v>0</v>
      </c>
      <c r="I29" s="13" t="s">
        <v>16</v>
      </c>
      <c r="J29" s="9" t="s">
        <v>81</v>
      </c>
    </row>
    <row r="30" customFormat="false" ht="15" hidden="false" customHeight="false" outlineLevel="0" collapsed="false">
      <c r="A30" s="9" t="n">
        <v>26</v>
      </c>
      <c r="B30" s="9" t="s">
        <v>76</v>
      </c>
      <c r="C30" s="9" t="s">
        <v>82</v>
      </c>
      <c r="D30" s="9"/>
      <c r="E30" s="10" t="n">
        <v>1</v>
      </c>
      <c r="F30" s="11" t="n">
        <v>17</v>
      </c>
      <c r="G30" s="10" t="s">
        <v>41</v>
      </c>
      <c r="H30" s="12" t="n">
        <f aca="false">IF(G30="Y",E30*F30,0)</f>
        <v>0</v>
      </c>
      <c r="I30" s="9" t="s">
        <v>23</v>
      </c>
      <c r="J30" s="9" t="s">
        <v>83</v>
      </c>
    </row>
    <row r="31" customFormat="false" ht="15" hidden="false" customHeight="false" outlineLevel="0" collapsed="false">
      <c r="A31" s="9" t="n">
        <v>27</v>
      </c>
      <c r="B31" s="9" t="s">
        <v>76</v>
      </c>
      <c r="C31" s="9" t="s">
        <v>84</v>
      </c>
      <c r="D31" s="9" t="s">
        <v>85</v>
      </c>
      <c r="E31" s="10" t="n">
        <v>1</v>
      </c>
      <c r="F31" s="11" t="n">
        <v>50</v>
      </c>
      <c r="G31" s="10" t="s">
        <v>41</v>
      </c>
      <c r="H31" s="12" t="n">
        <f aca="false">IF(G31="Y",E31*F31,0)</f>
        <v>0</v>
      </c>
      <c r="I31" s="9" t="s">
        <v>23</v>
      </c>
      <c r="J31" s="9" t="s">
        <v>86</v>
      </c>
    </row>
    <row r="32" customFormat="false" ht="15" hidden="false" customHeight="false" outlineLevel="0" collapsed="false">
      <c r="A32" s="9" t="n">
        <v>28</v>
      </c>
      <c r="B32" s="9" t="s">
        <v>76</v>
      </c>
      <c r="C32" s="9" t="s">
        <v>87</v>
      </c>
      <c r="D32" s="9"/>
      <c r="E32" s="10" t="n">
        <v>1</v>
      </c>
      <c r="F32" s="11" t="n">
        <v>60</v>
      </c>
      <c r="G32" s="10" t="s">
        <v>41</v>
      </c>
      <c r="H32" s="12" t="n">
        <f aca="false">IF(G32="Y",E32*F32,0)</f>
        <v>0</v>
      </c>
      <c r="I32" s="9" t="s">
        <v>23</v>
      </c>
      <c r="J32" s="9" t="s">
        <v>24</v>
      </c>
    </row>
    <row r="33" customFormat="false" ht="15" hidden="false" customHeight="false" outlineLevel="0" collapsed="false">
      <c r="A33" s="9" t="n">
        <v>29</v>
      </c>
      <c r="B33" s="9" t="s">
        <v>76</v>
      </c>
      <c r="C33" s="9" t="s">
        <v>88</v>
      </c>
      <c r="D33" s="9" t="s">
        <v>89</v>
      </c>
      <c r="E33" s="10" t="n">
        <v>1</v>
      </c>
      <c r="F33" s="11" t="n">
        <v>12</v>
      </c>
      <c r="G33" s="10" t="s">
        <v>41</v>
      </c>
      <c r="H33" s="12" t="n">
        <f aca="false">IF(G33="Y",E33*F33,0)</f>
        <v>0</v>
      </c>
      <c r="I33" s="9" t="s">
        <v>23</v>
      </c>
      <c r="J33" s="9" t="s">
        <v>24</v>
      </c>
    </row>
    <row r="34" customFormat="false" ht="15" hidden="false" customHeight="false" outlineLevel="0" collapsed="false">
      <c r="A34" s="9" t="n">
        <v>30</v>
      </c>
      <c r="B34" s="9" t="s">
        <v>76</v>
      </c>
      <c r="C34" s="9" t="s">
        <v>90</v>
      </c>
      <c r="D34" s="9" t="s">
        <v>91</v>
      </c>
      <c r="E34" s="10" t="n">
        <v>1</v>
      </c>
      <c r="F34" s="11" t="n">
        <v>18</v>
      </c>
      <c r="G34" s="10" t="s">
        <v>41</v>
      </c>
      <c r="H34" s="12" t="n">
        <f aca="false">IF(G34="Y",E34*F34,0)</f>
        <v>0</v>
      </c>
      <c r="I34" s="9" t="s">
        <v>23</v>
      </c>
      <c r="J34" s="9" t="s">
        <v>24</v>
      </c>
    </row>
    <row r="35" customFormat="false" ht="15" hidden="false" customHeight="false" outlineLevel="0" collapsed="false">
      <c r="A35" s="9" t="n">
        <v>31</v>
      </c>
      <c r="B35" s="9" t="s">
        <v>76</v>
      </c>
      <c r="C35" s="9" t="s">
        <v>92</v>
      </c>
      <c r="D35" s="9"/>
      <c r="E35" s="10" t="n">
        <v>1</v>
      </c>
      <c r="F35" s="11" t="n">
        <v>15</v>
      </c>
      <c r="G35" s="10" t="s">
        <v>41</v>
      </c>
      <c r="H35" s="12" t="n">
        <f aca="false">IF(G35="Y",E35*F35,0)</f>
        <v>0</v>
      </c>
      <c r="I35" s="9" t="s">
        <v>23</v>
      </c>
      <c r="J35" s="9" t="s">
        <v>24</v>
      </c>
    </row>
    <row r="36" customFormat="false" ht="15" hidden="false" customHeight="false" outlineLevel="0" collapsed="false">
      <c r="A36" s="9" t="n">
        <v>32</v>
      </c>
      <c r="B36" s="9" t="s">
        <v>76</v>
      </c>
      <c r="C36" s="9" t="s">
        <v>93</v>
      </c>
      <c r="D36" s="9" t="s">
        <v>94</v>
      </c>
      <c r="E36" s="10" t="n">
        <v>2</v>
      </c>
      <c r="F36" s="11" t="n">
        <v>20</v>
      </c>
      <c r="G36" s="10" t="s">
        <v>41</v>
      </c>
      <c r="H36" s="12" t="n">
        <f aca="false">IF(G36="Y",E36*F36,0)</f>
        <v>0</v>
      </c>
      <c r="I36" s="9" t="s">
        <v>23</v>
      </c>
      <c r="J36" s="9" t="s">
        <v>95</v>
      </c>
    </row>
    <row r="37" customFormat="false" ht="15" hidden="false" customHeight="false" outlineLevel="0" collapsed="false">
      <c r="A37" s="9" t="n">
        <v>33</v>
      </c>
      <c r="B37" s="9" t="s">
        <v>76</v>
      </c>
      <c r="C37" s="9" t="s">
        <v>96</v>
      </c>
      <c r="D37" s="9"/>
      <c r="E37" s="10" t="n">
        <v>1</v>
      </c>
      <c r="F37" s="11" t="n">
        <v>40</v>
      </c>
      <c r="G37" s="10" t="s">
        <v>41</v>
      </c>
      <c r="H37" s="12" t="n">
        <f aca="false">IF(G37="Y",E37*F37,0)</f>
        <v>0</v>
      </c>
      <c r="I37" s="9" t="s">
        <v>23</v>
      </c>
      <c r="J37" s="9" t="s">
        <v>24</v>
      </c>
    </row>
    <row r="38" customFormat="false" ht="15" hidden="false" customHeight="false" outlineLevel="0" collapsed="false">
      <c r="A38" s="9" t="n">
        <v>34</v>
      </c>
      <c r="B38" s="9" t="s">
        <v>76</v>
      </c>
      <c r="C38" s="9" t="s">
        <v>97</v>
      </c>
      <c r="D38" s="9"/>
      <c r="E38" s="10" t="n">
        <v>1</v>
      </c>
      <c r="F38" s="11" t="n">
        <v>45</v>
      </c>
      <c r="G38" s="10" t="s">
        <v>41</v>
      </c>
      <c r="H38" s="12" t="n">
        <f aca="false">IF(G38="Y",E38*F38,0)</f>
        <v>0</v>
      </c>
      <c r="I38" s="9" t="s">
        <v>23</v>
      </c>
      <c r="J38" s="9" t="s">
        <v>24</v>
      </c>
    </row>
    <row r="40" customFormat="false" ht="15" hidden="false" customHeight="false" outlineLevel="0" collapsed="false">
      <c r="F40" s="14" t="s">
        <v>98</v>
      </c>
    </row>
    <row r="41" customFormat="false" ht="15" hidden="false" customHeight="false" outlineLevel="0" collapsed="false">
      <c r="F41" s="15" t="s">
        <v>12</v>
      </c>
      <c r="H41" s="16" t="n">
        <f aca="false">SUMIFS(H5:H38,B5:B38,F41)</f>
        <v>182.96</v>
      </c>
    </row>
    <row r="42" customFormat="false" ht="15" hidden="false" customHeight="false" outlineLevel="0" collapsed="false">
      <c r="F42" s="15" t="s">
        <v>46</v>
      </c>
      <c r="H42" s="16" t="n">
        <f aca="false">SUMIFS(H5:H38,B5:B38,F42)</f>
        <v>93</v>
      </c>
    </row>
    <row r="43" customFormat="false" ht="15" hidden="false" customHeight="false" outlineLevel="0" collapsed="false">
      <c r="F43" s="15" t="s">
        <v>58</v>
      </c>
      <c r="H43" s="16" t="n">
        <f aca="false">SUMIFS(H5:H38,B5:B38,F43)</f>
        <v>69</v>
      </c>
    </row>
    <row r="44" customFormat="false" ht="15" hidden="false" customHeight="false" outlineLevel="0" collapsed="false">
      <c r="F44" s="15" t="s">
        <v>70</v>
      </c>
      <c r="H44" s="16" t="n">
        <f aca="false">SUMIFS(H5:H38,B5:B38,F44)</f>
        <v>0</v>
      </c>
    </row>
    <row r="45" customFormat="false" ht="15" hidden="false" customHeight="false" outlineLevel="0" collapsed="false">
      <c r="F45" s="15" t="s">
        <v>76</v>
      </c>
      <c r="H45" s="16" t="n">
        <f aca="false">SUMIFS(H5:H38,B5:B38,F45)</f>
        <v>0</v>
      </c>
    </row>
    <row r="46" customFormat="false" ht="15" hidden="false" customHeight="false" outlineLevel="0" collapsed="false">
      <c r="F46" s="14" t="s">
        <v>99</v>
      </c>
      <c r="H46" s="17" t="n">
        <f aca="false">SUM(H5:H38)</f>
        <v>344.96</v>
      </c>
    </row>
    <row r="47" customFormat="false" ht="15" hidden="false" customHeight="false" outlineLevel="0" collapsed="false">
      <c r="F47" s="15" t="s">
        <v>100</v>
      </c>
      <c r="H47" s="16" t="n">
        <f aca="false">SUMPRODUCT((B5:B38&lt;&gt;"4. 3D printer (optional)")*E5:E38*F5:F38)</f>
        <v>1199.31</v>
      </c>
    </row>
  </sheetData>
  <dataValidations count="1">
    <dataValidation allowBlank="false" errorStyle="stop" operator="between" showDropDown="false" showErrorMessage="false" showInputMessage="false" sqref="G5:G3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2026-10-24T22:02:08Z</dcterms:created>
  <dc:creator>openpyxl</dc:creator>
  <dc:description/>
  <dc:language>en-US</dc:language>
  <cp:lastModifiedBy/>
  <dcterms:modified xsi:type="dcterms:W3CDTF">2026-10-24T22:02:08Z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